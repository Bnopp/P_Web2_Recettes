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mothée - PC ROG\Downloads\"/>
    </mc:Choice>
  </mc:AlternateContent>
  <xr:revisionPtr revIDLastSave="0" documentId="13_ncr:1_{EFB4E408-A464-428B-994D-7B8A2ED9BD07}" xr6:coauthVersionLast="47" xr6:coauthVersionMax="48" xr10:uidLastSave="{00000000-0000-0000-0000-000000000000}"/>
  <bookViews>
    <workbookView xWindow="-120" yWindow="-120" windowWidth="38640" windowHeight="212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8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53" i="155" l="1"/>
  <c r="B139" i="155"/>
  <c r="B125" i="155"/>
  <c r="B189" i="156"/>
  <c r="B170" i="156"/>
  <c r="D1" i="156" l="1"/>
  <c r="D20" i="156" s="1"/>
  <c r="D39" i="156" s="1"/>
  <c r="D58" i="156" s="1"/>
  <c r="D77" i="156" s="1"/>
  <c r="D96" i="156" s="1"/>
  <c r="D115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D134" i="156" l="1"/>
  <c r="D153" i="156" s="1"/>
  <c r="D172" i="156"/>
  <c r="B18" i="154"/>
  <c r="B13" i="11" l="1"/>
</calcChain>
</file>

<file path=xl/sharedStrings.xml><?xml version="1.0" encoding="utf-8"?>
<sst xmlns="http://schemas.openxmlformats.org/spreadsheetml/2006/main" count="318" uniqueCount="72">
  <si>
    <t>Module :</t>
  </si>
  <si>
    <t>040-Web2</t>
  </si>
  <si>
    <t>Prénom - nom :</t>
  </si>
  <si>
    <t>Timothée Carlier</t>
  </si>
  <si>
    <t>Classe :</t>
  </si>
  <si>
    <t>CIN2B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</si>
  <si>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</si>
  <si>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</si>
  <si>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</si>
  <si>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</si>
  <si>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</si>
  <si>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</si>
  <si>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</si>
  <si>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</si>
  <si>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</si>
  <si>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</si>
  <si>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</si>
  <si>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JNLTRAV</t>
  </si>
  <si>
    <t>Rapport</t>
  </si>
  <si>
    <t>mise en place / communication</t>
  </si>
  <si>
    <t>Ecoconception</t>
  </si>
  <si>
    <t>Maquette</t>
  </si>
  <si>
    <t>Page d'accueil</t>
  </si>
  <si>
    <t>Page des listes de recettes</t>
  </si>
  <si>
    <t>Page de contact</t>
  </si>
  <si>
    <t>PhpMyAdmin</t>
  </si>
  <si>
    <t>Autre Html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</si>
  <si>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</si>
  <si>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</si>
  <si>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</si>
  <si>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</si>
  <si>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</si>
  <si>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</si>
  <si>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</si>
  <si>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</si>
  <si>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</si>
  <si>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</si>
  <si>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Explications du projets / mise en place / lecture CDC</t>
  </si>
  <si>
    <t>(périodes de lundi commencement du projet vendredi)</t>
  </si>
  <si>
    <t>Max. 27</t>
  </si>
  <si>
    <t xml:space="preserve">Création et remplissage des information lié au CDC </t>
  </si>
  <si>
    <t xml:space="preserve">Création du journal </t>
  </si>
  <si>
    <t>Lecture et correction du test i151</t>
  </si>
  <si>
    <t>Recherche d'un autre site pour recette et fichier excel + photos</t>
  </si>
  <si>
    <t>modifications selon CDC des topics a traiter et explication introduction</t>
  </si>
  <si>
    <t>rendu / correction test 151</t>
  </si>
  <si>
    <t>Update photos et recettes</t>
  </si>
  <si>
    <t xml:space="preserve">Discussion groupe </t>
  </si>
  <si>
    <t>Update</t>
  </si>
  <si>
    <t>(périodes de vendredi férié)</t>
  </si>
  <si>
    <t>Vacances</t>
  </si>
  <si>
    <t>Recherche et ajout des relations UML de la DB</t>
  </si>
  <si>
    <t>Recherches</t>
  </si>
  <si>
    <t>Recherche et création du Logo du site</t>
  </si>
  <si>
    <t xml:space="preserve">Page de contact </t>
  </si>
  <si>
    <t>Début:</t>
  </si>
  <si>
    <t>(périodes de Lundi commencement du projet vendredi)</t>
  </si>
  <si>
    <t>Lecture et correction du test i151 + discussion camp de sport</t>
  </si>
  <si>
    <t>Trello de groupe</t>
  </si>
  <si>
    <t>Explications à la classe du test 151</t>
  </si>
  <si>
    <t>Attribution et mise en page des titres, sous-titres et paragraphes</t>
  </si>
  <si>
    <t>Photos / recettes</t>
  </si>
  <si>
    <t>Update + ajout webographie</t>
  </si>
  <si>
    <t xml:space="preserve">Recherche/Ajout de pts d'écoconceptions dans le rapport potentiels </t>
  </si>
  <si>
    <t>Remodifications selon l'ajout du MVC de Serghei</t>
  </si>
  <si>
    <t>Checks avec Serghei (Github et Rapport)</t>
  </si>
  <si>
    <t>Pause Chaleur et pas pu avoir la salle au début</t>
  </si>
  <si>
    <t xml:space="preserve">Regex / Logo / Formulaire </t>
  </si>
  <si>
    <t>Finalisation du rapport</t>
  </si>
  <si>
    <t>Finalisation</t>
  </si>
  <si>
    <t>Ascension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</si>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</sst>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44708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14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95" t="s">
        <v>16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29</v>
      </c>
      <c r="C3" s="27">
        <v>0</v>
      </c>
    </row>
    <row r="4" spans="2:3" ht="18.75" thickBot="1" x14ac:dyDescent="0.3">
      <c r="B4" s="26" t="s">
        <v>30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31</v>
      </c>
      <c r="B1" s="7">
        <v>1</v>
      </c>
      <c r="C1" s="17"/>
      <c r="D1" s="87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154"/>
  <sheetViews>
    <sheetView topLeftCell="A71" workbookViewId="0">
      <selection activeCell="C145" sqref="C14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31</v>
      </c>
      <c r="B1" s="7">
        <v>1</v>
      </c>
      <c r="C1" s="17"/>
      <c r="D1" s="87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3" customFormat="1" ht="27" x14ac:dyDescent="0.25">
      <c r="A3" s="5" t="s">
        <v>19</v>
      </c>
      <c r="B3" s="4">
        <v>15</v>
      </c>
      <c r="C3" s="90" t="s">
        <v>37</v>
      </c>
      <c r="D3" s="9"/>
    </row>
    <row r="4" spans="1:4" s="53" customFormat="1" x14ac:dyDescent="0.25">
      <c r="A4" s="1" t="s">
        <v>16</v>
      </c>
      <c r="B4" s="2">
        <v>12</v>
      </c>
      <c r="C4" s="91" t="s">
        <v>38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27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31</v>
      </c>
      <c r="B15" s="7">
        <v>2</v>
      </c>
      <c r="C15" s="17"/>
      <c r="D15" s="87"/>
    </row>
    <row r="16" spans="1:4" ht="27.75" thickBot="1" x14ac:dyDescent="0.3">
      <c r="A16" s="8" t="s">
        <v>32</v>
      </c>
      <c r="B16" s="18" t="s">
        <v>33</v>
      </c>
      <c r="C16" s="8" t="s">
        <v>34</v>
      </c>
      <c r="D16" s="8" t="s">
        <v>35</v>
      </c>
    </row>
    <row r="17" spans="1:9" x14ac:dyDescent="0.25">
      <c r="A17" s="5" t="s">
        <v>18</v>
      </c>
      <c r="B17" s="4">
        <v>6</v>
      </c>
      <c r="C17" s="90" t="s">
        <v>40</v>
      </c>
      <c r="D17" s="9"/>
    </row>
    <row r="18" spans="1:9" x14ac:dyDescent="0.25">
      <c r="A18" s="1" t="s">
        <v>17</v>
      </c>
      <c r="B18" s="2">
        <v>4</v>
      </c>
      <c r="C18" s="91" t="s">
        <v>41</v>
      </c>
      <c r="D18" s="10"/>
    </row>
    <row r="19" spans="1:9" x14ac:dyDescent="0.25">
      <c r="A19" s="1" t="s">
        <v>16</v>
      </c>
      <c r="B19" s="2">
        <v>3</v>
      </c>
      <c r="C19" s="91" t="s">
        <v>42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19</v>
      </c>
      <c r="B20" s="2">
        <v>4</v>
      </c>
      <c r="C20" s="91" t="s">
        <v>43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36</v>
      </c>
      <c r="B27" s="12">
        <f>SUM(B17:B26)</f>
        <v>17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31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32</v>
      </c>
      <c r="B30" s="18" t="s">
        <v>33</v>
      </c>
      <c r="C30" s="8" t="s">
        <v>34</v>
      </c>
      <c r="D30" s="8" t="s">
        <v>35</v>
      </c>
      <c r="E30" s="20"/>
      <c r="F30" s="39"/>
      <c r="G30" s="40"/>
      <c r="H30" s="40"/>
      <c r="I30" s="20"/>
    </row>
    <row r="31" spans="1:9" ht="14.25" x14ac:dyDescent="0.3">
      <c r="A31" s="5" t="s">
        <v>18</v>
      </c>
      <c r="B31" s="4">
        <v>12</v>
      </c>
      <c r="C31" s="90" t="s">
        <v>44</v>
      </c>
      <c r="D31" s="9"/>
      <c r="E31" s="20"/>
      <c r="F31" s="41"/>
      <c r="G31" s="41"/>
      <c r="H31" s="41"/>
      <c r="I31" s="20"/>
    </row>
    <row r="32" spans="1:9" x14ac:dyDescent="0.25">
      <c r="A32" s="1" t="s">
        <v>16</v>
      </c>
      <c r="B32" s="2">
        <v>5</v>
      </c>
      <c r="C32" s="91" t="s">
        <v>45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19</v>
      </c>
      <c r="B33" s="2">
        <v>10</v>
      </c>
      <c r="C33" s="91" t="s">
        <v>46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36</v>
      </c>
      <c r="B41" s="12">
        <f>SUM(B31:B40)</f>
        <v>27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31</v>
      </c>
      <c r="B43" s="7">
        <v>4</v>
      </c>
      <c r="C43" s="17"/>
      <c r="D43" s="87"/>
    </row>
    <row r="44" spans="1:9" ht="27.75" thickBot="1" x14ac:dyDescent="0.3">
      <c r="A44" s="8" t="s">
        <v>32</v>
      </c>
      <c r="B44" s="18" t="s">
        <v>33</v>
      </c>
      <c r="C44" s="8" t="s">
        <v>34</v>
      </c>
      <c r="D44" s="8" t="s">
        <v>35</v>
      </c>
    </row>
    <row r="45" spans="1:9" x14ac:dyDescent="0.25">
      <c r="A45" s="1" t="s">
        <v>17</v>
      </c>
      <c r="B45" s="2">
        <v>1</v>
      </c>
      <c r="C45" s="91" t="s">
        <v>17</v>
      </c>
      <c r="D45" s="9"/>
    </row>
    <row r="46" spans="1:9" x14ac:dyDescent="0.25">
      <c r="A46" s="1" t="s">
        <v>16</v>
      </c>
      <c r="B46" s="2">
        <v>1</v>
      </c>
      <c r="C46" s="91" t="s">
        <v>47</v>
      </c>
      <c r="D46" s="10"/>
    </row>
    <row r="47" spans="1:9" x14ac:dyDescent="0.25">
      <c r="A47" s="1" t="s">
        <v>18</v>
      </c>
      <c r="B47" s="2">
        <v>10</v>
      </c>
      <c r="C47" s="91" t="s">
        <v>48</v>
      </c>
      <c r="D47" s="10"/>
    </row>
    <row r="48" spans="1:9" x14ac:dyDescent="0.25">
      <c r="A48" s="1" t="s">
        <v>16</v>
      </c>
      <c r="B48" s="2">
        <v>15</v>
      </c>
      <c r="C48" s="91" t="s">
        <v>49</v>
      </c>
      <c r="D48" s="10"/>
    </row>
    <row r="49" spans="1:4" x14ac:dyDescent="0.25">
      <c r="A49" s="1"/>
      <c r="B49" s="2"/>
      <c r="C49" s="91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36</v>
      </c>
      <c r="B55" s="12">
        <f>SUM(B45:B54)</f>
        <v>27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31</v>
      </c>
      <c r="B57" s="7">
        <v>5</v>
      </c>
      <c r="C57" s="17"/>
      <c r="D57" s="87"/>
    </row>
    <row r="58" spans="1:4" ht="27.75" thickBot="1" x14ac:dyDescent="0.3">
      <c r="A58" s="8" t="s">
        <v>32</v>
      </c>
      <c r="B58" s="18" t="s">
        <v>33</v>
      </c>
      <c r="C58" s="8" t="s">
        <v>34</v>
      </c>
      <c r="D58" s="8" t="s">
        <v>35</v>
      </c>
    </row>
    <row r="59" spans="1:4" x14ac:dyDescent="0.25">
      <c r="A59" s="5" t="s">
        <v>16</v>
      </c>
      <c r="B59" s="4">
        <v>27</v>
      </c>
      <c r="C59" s="90" t="s">
        <v>50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36</v>
      </c>
      <c r="B69" s="12">
        <f>SUM(B59:B68)</f>
        <v>27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31</v>
      </c>
      <c r="B71" s="7">
        <v>6</v>
      </c>
      <c r="C71" s="17"/>
      <c r="D71" s="87"/>
    </row>
    <row r="72" spans="1:4" ht="27.75" thickBot="1" x14ac:dyDescent="0.3">
      <c r="A72" s="8" t="s">
        <v>32</v>
      </c>
      <c r="B72" s="18" t="s">
        <v>33</v>
      </c>
      <c r="C72" s="8" t="s">
        <v>34</v>
      </c>
      <c r="D72" s="8" t="s">
        <v>35</v>
      </c>
    </row>
    <row r="73" spans="1:4" x14ac:dyDescent="0.25">
      <c r="A73" s="5" t="s">
        <v>16</v>
      </c>
      <c r="B73" s="4">
        <v>27</v>
      </c>
      <c r="C73" s="90" t="s">
        <v>50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36</v>
      </c>
      <c r="B83" s="12">
        <f>SUM(B73:B82)</f>
        <v>27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31</v>
      </c>
      <c r="B85" s="7">
        <v>7</v>
      </c>
      <c r="C85" s="17"/>
      <c r="D85" s="87"/>
    </row>
    <row r="86" spans="1:4" ht="27.75" thickBot="1" x14ac:dyDescent="0.3">
      <c r="A86" s="8" t="s">
        <v>32</v>
      </c>
      <c r="B86" s="18" t="s">
        <v>33</v>
      </c>
      <c r="C86" s="8" t="s">
        <v>34</v>
      </c>
      <c r="D86" s="8" t="s">
        <v>35</v>
      </c>
    </row>
    <row r="87" spans="1:4" x14ac:dyDescent="0.25">
      <c r="A87" s="5" t="s">
        <v>25</v>
      </c>
      <c r="B87" s="4">
        <v>9</v>
      </c>
      <c r="C87" s="90" t="s">
        <v>51</v>
      </c>
      <c r="D87" s="9"/>
    </row>
    <row r="88" spans="1:4" x14ac:dyDescent="0.25">
      <c r="A88" s="1" t="s">
        <v>17</v>
      </c>
      <c r="B88" s="2">
        <v>1</v>
      </c>
      <c r="C88" s="91" t="s">
        <v>17</v>
      </c>
      <c r="D88" s="10"/>
    </row>
    <row r="89" spans="1:4" x14ac:dyDescent="0.25">
      <c r="A89" s="1" t="s">
        <v>16</v>
      </c>
      <c r="B89" s="2">
        <v>1</v>
      </c>
      <c r="C89" s="91" t="s">
        <v>47</v>
      </c>
      <c r="D89" s="10"/>
    </row>
    <row r="90" spans="1:4" x14ac:dyDescent="0.25">
      <c r="A90" s="1" t="s">
        <v>18</v>
      </c>
      <c r="B90" s="2">
        <v>1</v>
      </c>
      <c r="C90" s="91" t="s">
        <v>48</v>
      </c>
      <c r="D90" s="10"/>
    </row>
    <row r="91" spans="1:4" x14ac:dyDescent="0.25">
      <c r="A91" s="1" t="s">
        <v>20</v>
      </c>
      <c r="B91" s="2">
        <v>9</v>
      </c>
      <c r="C91" s="91" t="s">
        <v>52</v>
      </c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36</v>
      </c>
      <c r="B97" s="12">
        <f>SUM(B87:B96)</f>
        <v>21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31</v>
      </c>
      <c r="B99" s="7">
        <v>8</v>
      </c>
      <c r="C99" s="17"/>
      <c r="D99" s="87"/>
    </row>
    <row r="100" spans="1:4" ht="27.75" thickBot="1" x14ac:dyDescent="0.3">
      <c r="A100" s="8" t="s">
        <v>32</v>
      </c>
      <c r="B100" s="18" t="s">
        <v>33</v>
      </c>
      <c r="C100" s="8" t="s">
        <v>34</v>
      </c>
      <c r="D100" s="8" t="s">
        <v>35</v>
      </c>
    </row>
    <row r="101" spans="1:4" x14ac:dyDescent="0.25">
      <c r="A101" s="5" t="s">
        <v>26</v>
      </c>
      <c r="B101" s="4">
        <v>6</v>
      </c>
      <c r="C101" s="90" t="s">
        <v>53</v>
      </c>
      <c r="D101" s="9"/>
    </row>
    <row r="102" spans="1:4" x14ac:dyDescent="0.25">
      <c r="A102" s="1" t="s">
        <v>24</v>
      </c>
      <c r="B102" s="2">
        <v>6</v>
      </c>
      <c r="C102" s="91" t="s">
        <v>54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36</v>
      </c>
      <c r="B111" s="12">
        <f>SUM(B101:B110)</f>
        <v>12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31</v>
      </c>
      <c r="B113" s="7">
        <v>8</v>
      </c>
      <c r="C113" s="17"/>
      <c r="D113" s="87"/>
    </row>
    <row r="114" spans="1:4" ht="27.75" thickBot="1" x14ac:dyDescent="0.3">
      <c r="A114" s="8" t="s">
        <v>32</v>
      </c>
      <c r="B114" s="18" t="s">
        <v>33</v>
      </c>
      <c r="C114" s="8" t="s">
        <v>34</v>
      </c>
      <c r="D114" s="8" t="s">
        <v>35</v>
      </c>
    </row>
    <row r="115" spans="1:4" x14ac:dyDescent="0.25">
      <c r="A115" s="5" t="s">
        <v>26</v>
      </c>
      <c r="B115" s="4">
        <v>27</v>
      </c>
      <c r="C115" s="90" t="s">
        <v>71</v>
      </c>
      <c r="D115" s="9"/>
    </row>
    <row r="116" spans="1:4" x14ac:dyDescent="0.25">
      <c r="A116" s="1"/>
      <c r="B116" s="2"/>
      <c r="C116" s="91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36</v>
      </c>
      <c r="B125" s="12">
        <f>SUM(B115:B124)</f>
        <v>27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31</v>
      </c>
      <c r="B127" s="7">
        <v>9</v>
      </c>
      <c r="C127" s="17"/>
      <c r="D127" s="87"/>
    </row>
    <row r="128" spans="1:4" ht="27.75" thickBot="1" x14ac:dyDescent="0.3">
      <c r="A128" s="8" t="s">
        <v>32</v>
      </c>
      <c r="B128" s="18" t="s">
        <v>33</v>
      </c>
      <c r="C128" s="8" t="s">
        <v>34</v>
      </c>
      <c r="D128" s="8" t="s">
        <v>35</v>
      </c>
    </row>
    <row r="129" spans="1:4" x14ac:dyDescent="0.25">
      <c r="A129" s="5" t="s">
        <v>26</v>
      </c>
      <c r="B129" s="4">
        <v>27</v>
      </c>
      <c r="C129" s="90" t="s">
        <v>71</v>
      </c>
      <c r="D129" s="9"/>
    </row>
    <row r="130" spans="1:4" x14ac:dyDescent="0.25">
      <c r="A130" s="1"/>
      <c r="B130" s="2"/>
      <c r="C130" s="91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36</v>
      </c>
      <c r="B139" s="12">
        <f>SUM(B129:B138)</f>
        <v>27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31</v>
      </c>
      <c r="B141" s="7">
        <v>10</v>
      </c>
      <c r="C141" s="17"/>
      <c r="D141" s="87"/>
    </row>
    <row r="142" spans="1:4" ht="27.75" thickBot="1" x14ac:dyDescent="0.3">
      <c r="A142" s="8" t="s">
        <v>32</v>
      </c>
      <c r="B142" s="18" t="s">
        <v>33</v>
      </c>
      <c r="C142" s="8" t="s">
        <v>34</v>
      </c>
      <c r="D142" s="8" t="s">
        <v>35</v>
      </c>
    </row>
    <row r="143" spans="1:4" x14ac:dyDescent="0.25">
      <c r="A143" s="5" t="s">
        <v>17</v>
      </c>
      <c r="B143" s="4">
        <v>6</v>
      </c>
      <c r="C143" s="90" t="s">
        <v>69</v>
      </c>
      <c r="D143" s="9"/>
    </row>
    <row r="144" spans="1:4" x14ac:dyDescent="0.25">
      <c r="A144" s="1" t="s">
        <v>18</v>
      </c>
      <c r="B144" s="2">
        <v>6</v>
      </c>
      <c r="C144" s="91" t="s">
        <v>69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36</v>
      </c>
      <c r="B153" s="12">
        <f>SUM(B143:B152)</f>
        <v>12</v>
      </c>
      <c r="C153" s="88" t="s">
        <v>39</v>
      </c>
      <c r="D153" s="13"/>
    </row>
    <row r="154" spans="1:4" ht="14.25" x14ac:dyDescent="0.3">
      <c r="A154" s="14"/>
      <c r="B154" s="14"/>
      <c r="C154" s="14"/>
      <c r="D154" s="14"/>
    </row>
  </sheetData>
  <sheetProtection insertRows="0" selectLockedCells="1"/>
  <dataValidations count="4">
    <dataValidation type="list" allowBlank="1" showInputMessage="1" showErrorMessage="1" sqref="A3:A12 A17:A26 A31:A40 A45:A54 A59:A68 A73:A82 A87:A96 A101:A110 A115:A124 A129:A138 A143:A152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00000000-0002-0000-04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" xr:uid="{00000000-0002-0000-04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4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31</v>
      </c>
      <c r="B1" s="44">
        <v>1</v>
      </c>
      <c r="C1" s="45" t="s">
        <v>55</v>
      </c>
      <c r="D1" s="54"/>
    </row>
    <row r="2" spans="1:4" ht="27.75" thickBot="1" x14ac:dyDescent="0.3">
      <c r="A2" s="46" t="s">
        <v>32</v>
      </c>
      <c r="B2" s="47" t="s">
        <v>33</v>
      </c>
      <c r="C2" s="46" t="s">
        <v>34</v>
      </c>
      <c r="D2" s="46" t="s">
        <v>35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36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I190"/>
  <sheetViews>
    <sheetView tabSelected="1" topLeftCell="A141" workbookViewId="0">
      <selection activeCell="C167" sqref="C16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31</v>
      </c>
      <c r="B1" s="44">
        <v>1</v>
      </c>
      <c r="C1" s="45" t="s">
        <v>55</v>
      </c>
      <c r="D1" s="54">
        <f>Donnees!$C$9</f>
        <v>44645</v>
      </c>
    </row>
    <row r="2" spans="1:4" ht="27.75" thickBot="1" x14ac:dyDescent="0.3">
      <c r="A2" s="46" t="s">
        <v>32</v>
      </c>
      <c r="B2" s="47" t="s">
        <v>33</v>
      </c>
      <c r="C2" s="46" t="s">
        <v>34</v>
      </c>
      <c r="D2" s="46" t="s">
        <v>35</v>
      </c>
    </row>
    <row r="3" spans="1:4" s="53" customFormat="1" ht="27" x14ac:dyDescent="0.25">
      <c r="A3" s="5" t="s">
        <v>19</v>
      </c>
      <c r="B3" s="4">
        <v>15</v>
      </c>
      <c r="C3" s="90" t="s">
        <v>37</v>
      </c>
      <c r="D3" s="9"/>
    </row>
    <row r="4" spans="1:4" s="53" customFormat="1" x14ac:dyDescent="0.25">
      <c r="A4" s="1" t="s">
        <v>16</v>
      </c>
      <c r="B4" s="2">
        <v>12</v>
      </c>
      <c r="C4" s="91" t="s">
        <v>56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36</v>
      </c>
      <c r="B18" s="48">
        <f>SUM(B3:B17)</f>
        <v>27</v>
      </c>
      <c r="C18" s="89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31</v>
      </c>
      <c r="B20" s="44">
        <v>2</v>
      </c>
      <c r="C20" s="45" t="s">
        <v>55</v>
      </c>
      <c r="D20" s="54">
        <f>$D$1+3</f>
        <v>44648</v>
      </c>
    </row>
    <row r="21" spans="1:9" ht="27.75" thickBot="1" x14ac:dyDescent="0.3">
      <c r="A21" s="46" t="s">
        <v>32</v>
      </c>
      <c r="B21" s="47" t="s">
        <v>33</v>
      </c>
      <c r="C21" s="46" t="s">
        <v>34</v>
      </c>
      <c r="D21" s="46" t="s">
        <v>35</v>
      </c>
    </row>
    <row r="22" spans="1:9" x14ac:dyDescent="0.25">
      <c r="A22" s="5" t="s">
        <v>18</v>
      </c>
      <c r="B22" s="4">
        <v>6</v>
      </c>
      <c r="C22" s="90" t="s">
        <v>40</v>
      </c>
      <c r="D22" s="9"/>
    </row>
    <row r="23" spans="1:9" x14ac:dyDescent="0.25">
      <c r="A23" s="1" t="s">
        <v>17</v>
      </c>
      <c r="B23" s="2">
        <v>4</v>
      </c>
      <c r="C23" s="91" t="s">
        <v>41</v>
      </c>
      <c r="D23" s="10"/>
    </row>
    <row r="24" spans="1:9" x14ac:dyDescent="0.25">
      <c r="A24" s="1" t="s">
        <v>16</v>
      </c>
      <c r="B24" s="2">
        <v>5</v>
      </c>
      <c r="C24" s="91" t="s">
        <v>57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19</v>
      </c>
      <c r="B25" s="2">
        <v>9</v>
      </c>
      <c r="C25" s="91" t="s">
        <v>43</v>
      </c>
      <c r="D25" s="10"/>
      <c r="E25" s="20"/>
      <c r="F25" s="32"/>
      <c r="G25" s="33"/>
      <c r="H25" s="34"/>
      <c r="I25" s="20"/>
    </row>
    <row r="26" spans="1:9" ht="27" x14ac:dyDescent="0.25">
      <c r="A26" s="92" t="s">
        <v>19</v>
      </c>
      <c r="B26" s="2">
        <v>3</v>
      </c>
      <c r="C26" s="91" t="s">
        <v>58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36</v>
      </c>
      <c r="B37" s="48">
        <f>SUM(B22:B36)</f>
        <v>27</v>
      </c>
      <c r="C37" s="89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31</v>
      </c>
      <c r="B39" s="44">
        <v>3</v>
      </c>
      <c r="C39" s="45" t="s">
        <v>55</v>
      </c>
      <c r="D39" s="54">
        <f>$D$20+7</f>
        <v>44655</v>
      </c>
      <c r="E39" s="20"/>
      <c r="F39" s="20"/>
      <c r="G39" s="20"/>
      <c r="H39" s="20"/>
      <c r="I39" s="20"/>
    </row>
    <row r="40" spans="1:9" ht="27.75" thickBot="1" x14ac:dyDescent="0.3">
      <c r="A40" s="46" t="s">
        <v>32</v>
      </c>
      <c r="B40" s="47" t="s">
        <v>33</v>
      </c>
      <c r="C40" s="46" t="s">
        <v>34</v>
      </c>
      <c r="D40" s="46" t="s">
        <v>35</v>
      </c>
    </row>
    <row r="41" spans="1:9" x14ac:dyDescent="0.25">
      <c r="A41" s="5" t="s">
        <v>16</v>
      </c>
      <c r="B41" s="4">
        <v>2</v>
      </c>
      <c r="C41" s="90" t="s">
        <v>59</v>
      </c>
      <c r="D41" s="9"/>
    </row>
    <row r="42" spans="1:9" x14ac:dyDescent="0.25">
      <c r="A42" s="1" t="s">
        <v>18</v>
      </c>
      <c r="B42" s="2">
        <v>3</v>
      </c>
      <c r="C42" s="91" t="s">
        <v>60</v>
      </c>
      <c r="D42" s="10"/>
    </row>
    <row r="43" spans="1:9" x14ac:dyDescent="0.25">
      <c r="A43" s="1" t="s">
        <v>16</v>
      </c>
      <c r="B43" s="2">
        <v>10</v>
      </c>
      <c r="C43" s="91" t="s">
        <v>57</v>
      </c>
      <c r="D43" s="10"/>
    </row>
    <row r="44" spans="1:9" ht="27" x14ac:dyDescent="0.25">
      <c r="A44" s="1" t="s">
        <v>19</v>
      </c>
      <c r="B44" s="2">
        <v>12</v>
      </c>
      <c r="C44" s="91" t="s">
        <v>61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36</v>
      </c>
      <c r="B56" s="48">
        <f>SUM(B41:B55)</f>
        <v>27</v>
      </c>
      <c r="C56" s="89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31</v>
      </c>
      <c r="B58" s="44">
        <v>4</v>
      </c>
      <c r="C58" s="45" t="s">
        <v>55</v>
      </c>
      <c r="D58" s="54">
        <f>$D$39+7</f>
        <v>44662</v>
      </c>
    </row>
    <row r="59" spans="1:4" ht="27.75" thickBot="1" x14ac:dyDescent="0.3">
      <c r="A59" s="46" t="s">
        <v>32</v>
      </c>
      <c r="B59" s="47" t="s">
        <v>33</v>
      </c>
      <c r="C59" s="46" t="s">
        <v>34</v>
      </c>
      <c r="D59" s="46" t="s">
        <v>35</v>
      </c>
    </row>
    <row r="60" spans="1:4" x14ac:dyDescent="0.25">
      <c r="A60" s="1" t="s">
        <v>17</v>
      </c>
      <c r="B60" s="2">
        <v>1</v>
      </c>
      <c r="C60" s="91" t="s">
        <v>17</v>
      </c>
      <c r="D60" s="9"/>
    </row>
    <row r="61" spans="1:4" x14ac:dyDescent="0.25">
      <c r="A61" s="1" t="s">
        <v>16</v>
      </c>
      <c r="B61" s="2">
        <v>1</v>
      </c>
      <c r="C61" s="91" t="s">
        <v>47</v>
      </c>
      <c r="D61" s="10"/>
    </row>
    <row r="62" spans="1:4" x14ac:dyDescent="0.25">
      <c r="A62" s="1" t="s">
        <v>18</v>
      </c>
      <c r="B62" s="2">
        <v>10</v>
      </c>
      <c r="C62" s="91" t="s">
        <v>48</v>
      </c>
      <c r="D62" s="10"/>
    </row>
    <row r="63" spans="1:4" x14ac:dyDescent="0.25">
      <c r="A63" s="1" t="s">
        <v>16</v>
      </c>
      <c r="B63" s="2">
        <v>15</v>
      </c>
      <c r="C63" s="91" t="s">
        <v>49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36</v>
      </c>
      <c r="B75" s="48">
        <f>SUM(B60:B74)</f>
        <v>27</v>
      </c>
      <c r="C75" s="89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31</v>
      </c>
      <c r="B77" s="44">
        <v>5</v>
      </c>
      <c r="C77" s="45" t="s">
        <v>55</v>
      </c>
      <c r="D77" s="54">
        <f>$D$58+7</f>
        <v>44669</v>
      </c>
    </row>
    <row r="78" spans="1:4" ht="27.75" thickBot="1" x14ac:dyDescent="0.3">
      <c r="A78" s="46" t="s">
        <v>32</v>
      </c>
      <c r="B78" s="47" t="s">
        <v>33</v>
      </c>
      <c r="C78" s="46" t="s">
        <v>34</v>
      </c>
      <c r="D78" s="46" t="s">
        <v>35</v>
      </c>
    </row>
    <row r="79" spans="1:4" x14ac:dyDescent="0.25">
      <c r="A79" s="5" t="s">
        <v>16</v>
      </c>
      <c r="B79" s="4">
        <v>27</v>
      </c>
      <c r="C79" s="90" t="s">
        <v>50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36</v>
      </c>
      <c r="B94" s="48">
        <f>SUM(B79:B93)</f>
        <v>27</v>
      </c>
      <c r="C94" s="89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31</v>
      </c>
      <c r="B96" s="44">
        <v>6</v>
      </c>
      <c r="C96" s="45" t="s">
        <v>55</v>
      </c>
      <c r="D96" s="54">
        <f>$D$77+7</f>
        <v>44676</v>
      </c>
    </row>
    <row r="97" spans="1:4" ht="27.75" thickBot="1" x14ac:dyDescent="0.3">
      <c r="A97" s="46" t="s">
        <v>32</v>
      </c>
      <c r="B97" s="47" t="s">
        <v>33</v>
      </c>
      <c r="C97" s="46" t="s">
        <v>34</v>
      </c>
      <c r="D97" s="46" t="s">
        <v>35</v>
      </c>
    </row>
    <row r="98" spans="1:4" x14ac:dyDescent="0.25">
      <c r="A98" s="5" t="s">
        <v>16</v>
      </c>
      <c r="B98" s="4">
        <v>27</v>
      </c>
      <c r="C98" s="90" t="s">
        <v>50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36</v>
      </c>
      <c r="B113" s="48">
        <f>SUM(B98:B112)</f>
        <v>27</v>
      </c>
      <c r="C113" s="89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31</v>
      </c>
      <c r="B115" s="44">
        <v>7</v>
      </c>
      <c r="C115" s="45" t="s">
        <v>55</v>
      </c>
      <c r="D115" s="54">
        <f>$D$96+7</f>
        <v>44683</v>
      </c>
    </row>
    <row r="116" spans="1:4" ht="27.75" thickBot="1" x14ac:dyDescent="0.3">
      <c r="A116" s="46" t="s">
        <v>32</v>
      </c>
      <c r="B116" s="47" t="s">
        <v>33</v>
      </c>
      <c r="C116" s="46" t="s">
        <v>34</v>
      </c>
      <c r="D116" s="46" t="s">
        <v>35</v>
      </c>
    </row>
    <row r="117" spans="1:4" x14ac:dyDescent="0.25">
      <c r="A117" s="5" t="s">
        <v>25</v>
      </c>
      <c r="B117" s="4">
        <v>9</v>
      </c>
      <c r="C117" s="90" t="s">
        <v>51</v>
      </c>
      <c r="D117" s="9"/>
    </row>
    <row r="118" spans="1:4" x14ac:dyDescent="0.25">
      <c r="A118" s="1" t="s">
        <v>17</v>
      </c>
      <c r="B118" s="2">
        <v>1</v>
      </c>
      <c r="C118" s="91" t="s">
        <v>17</v>
      </c>
      <c r="D118" s="10"/>
    </row>
    <row r="119" spans="1:4" x14ac:dyDescent="0.25">
      <c r="A119" s="1" t="s">
        <v>16</v>
      </c>
      <c r="B119" s="2">
        <v>1</v>
      </c>
      <c r="C119" s="91" t="s">
        <v>47</v>
      </c>
      <c r="D119" s="10"/>
    </row>
    <row r="120" spans="1:4" x14ac:dyDescent="0.25">
      <c r="A120" s="1" t="s">
        <v>18</v>
      </c>
      <c r="B120" s="2">
        <v>3</v>
      </c>
      <c r="C120" s="91" t="s">
        <v>62</v>
      </c>
      <c r="D120" s="10"/>
    </row>
    <row r="121" spans="1:4" x14ac:dyDescent="0.25">
      <c r="A121" s="1" t="s">
        <v>20</v>
      </c>
      <c r="B121" s="2">
        <v>13</v>
      </c>
      <c r="C121" s="91" t="s">
        <v>63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36</v>
      </c>
      <c r="B132" s="48">
        <f>SUM(B117:B131)</f>
        <v>27</v>
      </c>
      <c r="C132" s="89" t="s">
        <v>39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31</v>
      </c>
      <c r="B134" s="44">
        <v>8</v>
      </c>
      <c r="C134" s="45" t="s">
        <v>55</v>
      </c>
      <c r="D134" s="54">
        <f>$D$115+7</f>
        <v>44690</v>
      </c>
    </row>
    <row r="135" spans="1:4" ht="27.75" thickBot="1" x14ac:dyDescent="0.3">
      <c r="A135" s="46" t="s">
        <v>32</v>
      </c>
      <c r="B135" s="47" t="s">
        <v>33</v>
      </c>
      <c r="C135" s="46" t="s">
        <v>34</v>
      </c>
      <c r="D135" s="46" t="s">
        <v>35</v>
      </c>
    </row>
    <row r="136" spans="1:4" x14ac:dyDescent="0.25">
      <c r="A136" s="5" t="s">
        <v>26</v>
      </c>
      <c r="B136" s="4">
        <v>6</v>
      </c>
      <c r="C136" s="90" t="s">
        <v>53</v>
      </c>
      <c r="D136" s="9"/>
    </row>
    <row r="137" spans="1:4" x14ac:dyDescent="0.25">
      <c r="A137" s="1" t="s">
        <v>24</v>
      </c>
      <c r="B137" s="2">
        <v>21</v>
      </c>
      <c r="C137" s="91" t="s">
        <v>54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36</v>
      </c>
      <c r="B151" s="48">
        <f>SUM(B136:B150)</f>
        <v>27</v>
      </c>
      <c r="C151" s="89" t="s">
        <v>39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31</v>
      </c>
      <c r="B153" s="44">
        <v>9</v>
      </c>
      <c r="C153" s="45" t="s">
        <v>55</v>
      </c>
      <c r="D153" s="54">
        <f>$D$134+7</f>
        <v>44697</v>
      </c>
    </row>
    <row r="154" spans="1:4" ht="27.75" thickBot="1" x14ac:dyDescent="0.3">
      <c r="A154" s="46" t="s">
        <v>32</v>
      </c>
      <c r="B154" s="47" t="s">
        <v>33</v>
      </c>
      <c r="C154" s="46" t="s">
        <v>34</v>
      </c>
      <c r="D154" s="46" t="s">
        <v>35</v>
      </c>
    </row>
    <row r="155" spans="1:4" x14ac:dyDescent="0.25">
      <c r="A155" s="5" t="s">
        <v>22</v>
      </c>
      <c r="B155" s="4">
        <v>12</v>
      </c>
      <c r="C155" s="90" t="s">
        <v>67</v>
      </c>
      <c r="D155" s="9"/>
    </row>
    <row r="156" spans="1:4" x14ac:dyDescent="0.25">
      <c r="A156" s="1" t="s">
        <v>22</v>
      </c>
      <c r="B156" s="2">
        <v>5</v>
      </c>
      <c r="C156" s="91" t="s">
        <v>64</v>
      </c>
      <c r="D156" s="10"/>
    </row>
    <row r="157" spans="1:4" ht="27" x14ac:dyDescent="0.25">
      <c r="A157" s="1" t="s">
        <v>19</v>
      </c>
      <c r="B157" s="2">
        <v>3</v>
      </c>
      <c r="C157" s="91" t="s">
        <v>65</v>
      </c>
      <c r="D157" s="10"/>
    </row>
    <row r="158" spans="1:4" x14ac:dyDescent="0.25">
      <c r="A158" s="1" t="s">
        <v>18</v>
      </c>
      <c r="B158" s="2">
        <v>5</v>
      </c>
      <c r="C158" s="91" t="s">
        <v>18</v>
      </c>
      <c r="D158" s="10"/>
    </row>
    <row r="159" spans="1:4" x14ac:dyDescent="0.25">
      <c r="A159" s="1" t="s">
        <v>16</v>
      </c>
      <c r="B159" s="2">
        <v>2</v>
      </c>
      <c r="C159" s="91" t="s">
        <v>66</v>
      </c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36</v>
      </c>
      <c r="B170" s="48">
        <f>SUM(B155:B169)</f>
        <v>27</v>
      </c>
      <c r="C170" s="89" t="s">
        <v>39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31</v>
      </c>
      <c r="B172" s="44">
        <v>10</v>
      </c>
      <c r="C172" s="45" t="s">
        <v>55</v>
      </c>
      <c r="D172" s="54">
        <f>$D$115+21</f>
        <v>44704</v>
      </c>
    </row>
    <row r="173" spans="1:4" ht="27.75" thickBot="1" x14ac:dyDescent="0.3">
      <c r="A173" s="46" t="s">
        <v>32</v>
      </c>
      <c r="B173" s="47" t="s">
        <v>33</v>
      </c>
      <c r="C173" s="46" t="s">
        <v>34</v>
      </c>
      <c r="D173" s="46" t="s">
        <v>35</v>
      </c>
    </row>
    <row r="174" spans="1:4" x14ac:dyDescent="0.25">
      <c r="A174" s="5" t="s">
        <v>18</v>
      </c>
      <c r="B174" s="4">
        <v>8</v>
      </c>
      <c r="C174" s="90" t="s">
        <v>68</v>
      </c>
      <c r="D174" s="9"/>
    </row>
    <row r="175" spans="1:4" x14ac:dyDescent="0.25">
      <c r="A175" s="1" t="s">
        <v>17</v>
      </c>
      <c r="B175" s="2">
        <v>4</v>
      </c>
      <c r="C175" s="91" t="s">
        <v>69</v>
      </c>
      <c r="D175" s="10"/>
    </row>
    <row r="176" spans="1:4" x14ac:dyDescent="0.25">
      <c r="A176" s="1" t="s">
        <v>16</v>
      </c>
      <c r="B176" s="2">
        <v>15</v>
      </c>
      <c r="C176" s="91" t="s">
        <v>70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36</v>
      </c>
      <c r="B189" s="48">
        <f>SUM(B174:B188)</f>
        <v>27</v>
      </c>
      <c r="C189" s="89" t="s">
        <v>39</v>
      </c>
      <c r="D189" s="49"/>
    </row>
    <row r="190" spans="1:4" ht="14.25" x14ac:dyDescent="0.3">
      <c r="A190" s="50"/>
      <c r="B190" s="50"/>
      <c r="C190" s="50"/>
      <c r="D190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6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2:B36 B136:B150 B117:B131 B41:B55 B3:B17 B79:B93 B98:B112 B60:B74 B155:B169 B174:B188" xr:uid="{00000000-0002-0000-06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0000000-0002-0000-0600-000002000000}">
      <formula1>0</formula1>
      <formula2>NbPerWeek * NbQuartPer</formula2>
    </dataValidation>
    <dataValidation type="list" allowBlank="1" showInputMessage="1" showErrorMessage="1" sqref="A22:A36 A136:A150 A117:A131 A41:A55 A3:A17 A79:A93 A98:A112 A60:A74 A155:A169 A174:A188" xr:uid="{00000000-0002-0000-06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keywords/>
  <dc:description/>
  <cp:lastModifiedBy>Timothée - PC ROG</cp:lastModifiedBy>
  <cp:revision/>
  <dcterms:created xsi:type="dcterms:W3CDTF">1996-10-21T11:03:58Z</dcterms:created>
  <dcterms:modified xsi:type="dcterms:W3CDTF">2022-05-26T17:49:54Z</dcterms:modified>
  <cp:category/>
  <cp:contentStatus/>
</cp:coreProperties>
</file>